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r" sheetId="1" r:id="rId5"/>
    <sheet state="visible" name="Year 1" sheetId="2" r:id="rId6"/>
    <sheet state="visible" name="Year 2" sheetId="3" r:id="rId7"/>
    <sheet state="visible" name="Year 3" sheetId="4" r:id="rId8"/>
  </sheets>
  <definedNames/>
  <calcPr/>
</workbook>
</file>

<file path=xl/sharedStrings.xml><?xml version="1.0" encoding="utf-8"?>
<sst xmlns="http://schemas.openxmlformats.org/spreadsheetml/2006/main" count="192" uniqueCount="40">
  <si>
    <t>File &gt; Make A Copy top left</t>
  </si>
  <si>
    <t>Lessons Per Song</t>
  </si>
  <si>
    <t>Total</t>
  </si>
  <si>
    <t>Da</t>
  </si>
  <si>
    <t>Pa</t>
  </si>
  <si>
    <t>Vo</t>
  </si>
  <si>
    <t>Vi</t>
  </si>
  <si>
    <t>Me</t>
  </si>
  <si>
    <t>Live 1</t>
  </si>
  <si>
    <t>Live 2~4</t>
  </si>
  <si>
    <t>Live 5</t>
  </si>
  <si>
    <t>You still need to save:</t>
  </si>
  <si>
    <t>1-2-3-4-4-2</t>
  </si>
  <si>
    <t>2-2-2-4-5-2</t>
  </si>
  <si>
    <t>2-2-2-4-2-2</t>
  </si>
  <si>
    <t>WANT</t>
  </si>
  <si>
    <t>GOT</t>
  </si>
  <si>
    <t>Year</t>
  </si>
  <si>
    <t>Song</t>
  </si>
  <si>
    <t>青春が待ってる
+22 Power / +5% Friendship</t>
  </si>
  <si>
    <t>RUN×RUN！
+22 SP / +5% Friendship</t>
  </si>
  <si>
    <t>全速！前進！ウマドルパワー☆
+22 Speed / +5% Friendship</t>
  </si>
  <si>
    <t>ユメヲカケル！
+2 SP / +5 Specialty</t>
  </si>
  <si>
    <t>グロウアップ・シャイン！
+3 SP / +1 Chain</t>
  </si>
  <si>
    <t>大好きのタカラバコ
+26 Speed / +10% Friendship</t>
  </si>
  <si>
    <t>Fanfare for Future!
+26 Guts / +10% Friendship</t>
  </si>
  <si>
    <t>PRESENT MARCH♪
+22 Power / +5% Friendship</t>
  </si>
  <si>
    <t>ユメゾラ
+22 Wisdom / +5% Friendship</t>
  </si>
  <si>
    <t>世界は僕らの言いなりさ
+22 Stamina / +5% Friendship</t>
  </si>
  <si>
    <t>青空BLUE
+22 Guts / +5% Friendship</t>
  </si>
  <si>
    <t>立ち位置ゼロ番！順位は一番！
+1 Speed / +1 Chain</t>
  </si>
  <si>
    <t>奇跡を信じて！
+1 Wisdom / +5 Specialty</t>
  </si>
  <si>
    <t>Go This Way
+1 Power / +1 Chain</t>
  </si>
  <si>
    <t>Ring Ring ダイアリー
+1 Stamina / +1 Chain</t>
  </si>
  <si>
    <t>逃げ切りっ！Fallin'Love
+1 Guts / +1 Chain</t>
  </si>
  <si>
    <t>ぼくらのブルーバードデイズ
+2 Speed / +5 Specialty</t>
  </si>
  <si>
    <t>A・NO・NE
+2 Guts / +5 Specialty</t>
  </si>
  <si>
    <t>七色の景色
+2 Power / +5 Specialty</t>
  </si>
  <si>
    <t>木漏れ日のエール
+2 Wisdom / +1 Chain</t>
  </si>
  <si>
    <t>ぴょいっと♪はれるや！
+2 Stamina / +5 Specialty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</si>
</sst>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2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6.5"/>
    <col customWidth="1" min="3" max="3" width="5.0"/>
    <col customWidth="1" min="4" max="4" width="24.5"/>
    <col customWidth="1" min="5" max="9" width="5.13"/>
    <col customWidth="1" min="10" max="10" width="4.88"/>
    <col customWidth="1" min="11" max="13" width="11.13"/>
  </cols>
  <sheetData>
    <row r="1">
      <c r="A1" s="1" t="s">
        <v>0</v>
      </c>
      <c r="K1" s="2" t="s">
        <v>1</v>
      </c>
    </row>
    <row r="2">
      <c r="A2" s="3" t="s">
        <v>2</v>
      </c>
      <c r="B2" s="3" t="s">
        <v>2</v>
      </c>
      <c r="C2" s="3"/>
      <c r="E2" s="4" t="s">
        <v>3</v>
      </c>
      <c r="F2" s="5" t="s">
        <v>4</v>
      </c>
      <c r="G2" s="6" t="s">
        <v>5</v>
      </c>
      <c r="H2" s="7" t="s">
        <v>6</v>
      </c>
      <c r="I2" s="8" t="s">
        <v>7</v>
      </c>
      <c r="J2" s="3" t="s">
        <v>2</v>
      </c>
      <c r="K2" s="2" t="s">
        <v>8</v>
      </c>
      <c r="L2" s="2" t="s">
        <v>9</v>
      </c>
      <c r="M2" s="2" t="s">
        <v>10</v>
      </c>
    </row>
    <row r="3">
      <c r="A3" s="3">
        <f t="shared" ref="A3:B3" si="1">COUNTIF(A5:A25,TRUE)</f>
        <v>3</v>
      </c>
      <c r="B3" s="3">
        <f t="shared" si="1"/>
        <v>0</v>
      </c>
      <c r="C3" s="3"/>
      <c r="D3" s="9" t="s">
        <v>11</v>
      </c>
      <c r="E3" s="10">
        <f t="shared" ref="E3:I3" si="2">SUMIF($A5:$A25, "TRUE", E5:E25) - SUMIF($B5:$B25, "TRUE", E5:E25)</f>
        <v>46</v>
      </c>
      <c r="F3" s="5">
        <f t="shared" si="2"/>
        <v>0</v>
      </c>
      <c r="G3" s="6">
        <f t="shared" si="2"/>
        <v>32</v>
      </c>
      <c r="H3" s="7">
        <f t="shared" si="2"/>
        <v>28</v>
      </c>
      <c r="I3" s="8">
        <f t="shared" si="2"/>
        <v>26</v>
      </c>
      <c r="J3" s="11">
        <f>SUM(E3:I3)</f>
        <v>132</v>
      </c>
      <c r="K3" s="2" t="s">
        <v>12</v>
      </c>
      <c r="L3" s="2" t="s">
        <v>13</v>
      </c>
      <c r="M3" s="2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 t="s">
        <v>3</v>
      </c>
      <c r="F4" s="5" t="s">
        <v>4</v>
      </c>
      <c r="G4" s="6" t="s">
        <v>5</v>
      </c>
      <c r="H4" s="7" t="s">
        <v>6</v>
      </c>
      <c r="I4" s="8" t="s">
        <v>7</v>
      </c>
      <c r="J4" s="3" t="s">
        <v>2</v>
      </c>
    </row>
    <row r="5">
      <c r="A5" s="1" t="b">
        <v>1</v>
      </c>
      <c r="B5" s="1" t="b">
        <v>0</v>
      </c>
      <c r="C5" s="12">
        <v>1.0</v>
      </c>
      <c r="D5" s="13" t="s">
        <v>19</v>
      </c>
      <c r="E5" s="14"/>
      <c r="F5" s="15"/>
      <c r="G5" s="16">
        <v>32.0</v>
      </c>
      <c r="H5" s="17"/>
      <c r="I5" s="18">
        <v>12.0</v>
      </c>
      <c r="J5" s="11">
        <f t="shared" ref="J5:J25" si="3">SUM(E5:I5)</f>
        <v>44</v>
      </c>
    </row>
    <row r="6">
      <c r="A6" s="1" t="b">
        <v>1</v>
      </c>
      <c r="B6" s="1" t="b">
        <v>0</v>
      </c>
      <c r="C6" s="19">
        <v>1.0</v>
      </c>
      <c r="D6" s="20" t="s">
        <v>20</v>
      </c>
      <c r="E6" s="21">
        <v>14.0</v>
      </c>
      <c r="F6" s="15"/>
      <c r="G6" s="22"/>
      <c r="H6" s="23">
        <v>16.0</v>
      </c>
      <c r="I6" s="18">
        <v>14.0</v>
      </c>
      <c r="J6" s="11">
        <f t="shared" si="3"/>
        <v>44</v>
      </c>
    </row>
    <row r="7">
      <c r="A7" s="1" t="b">
        <v>1</v>
      </c>
      <c r="B7" s="1" t="b">
        <v>0</v>
      </c>
      <c r="C7" s="19">
        <v>1.0</v>
      </c>
      <c r="D7" s="20" t="s">
        <v>21</v>
      </c>
      <c r="E7" s="21">
        <v>32.0</v>
      </c>
      <c r="F7" s="15"/>
      <c r="G7" s="22"/>
      <c r="H7" s="23">
        <v>12.0</v>
      </c>
      <c r="I7" s="24"/>
      <c r="J7" s="11">
        <f t="shared" si="3"/>
        <v>44</v>
      </c>
    </row>
    <row r="8">
      <c r="A8" s="1" t="b">
        <v>0</v>
      </c>
      <c r="B8" s="1" t="b">
        <v>0</v>
      </c>
      <c r="C8" s="19">
        <v>2.0</v>
      </c>
      <c r="D8" s="20" t="s">
        <v>22</v>
      </c>
      <c r="E8" s="14"/>
      <c r="F8" s="25">
        <v>21.0</v>
      </c>
      <c r="G8" s="22"/>
      <c r="H8" s="23">
        <v>21.0</v>
      </c>
      <c r="I8" s="24"/>
      <c r="J8" s="11">
        <f t="shared" si="3"/>
        <v>42</v>
      </c>
    </row>
    <row r="9">
      <c r="A9" s="1" t="b">
        <v>0</v>
      </c>
      <c r="B9" s="1" t="b">
        <v>0</v>
      </c>
      <c r="C9" s="19">
        <v>2.5</v>
      </c>
      <c r="D9" s="20" t="s">
        <v>23</v>
      </c>
      <c r="E9" s="21">
        <v>21.0</v>
      </c>
      <c r="F9" s="15"/>
      <c r="G9" s="16">
        <v>21.0</v>
      </c>
      <c r="H9" s="17"/>
      <c r="I9" s="18">
        <v>21.0</v>
      </c>
      <c r="J9" s="11">
        <f t="shared" si="3"/>
        <v>63</v>
      </c>
    </row>
    <row r="10">
      <c r="A10" s="1" t="b">
        <v>0</v>
      </c>
      <c r="B10" s="1" t="b">
        <v>0</v>
      </c>
      <c r="C10" s="12">
        <v>3.0</v>
      </c>
      <c r="D10" s="20" t="s">
        <v>24</v>
      </c>
      <c r="E10" s="21">
        <v>42.0</v>
      </c>
      <c r="F10" s="15"/>
      <c r="G10" s="22"/>
      <c r="H10" s="23">
        <v>26.0</v>
      </c>
      <c r="I10" s="24"/>
      <c r="J10" s="11">
        <f t="shared" si="3"/>
        <v>68</v>
      </c>
    </row>
    <row r="11">
      <c r="A11" s="1" t="b">
        <v>0</v>
      </c>
      <c r="B11" s="1" t="b">
        <v>0</v>
      </c>
      <c r="C11" s="12">
        <v>3.0</v>
      </c>
      <c r="D11" s="13" t="s">
        <v>25</v>
      </c>
      <c r="E11" s="21">
        <v>26.0</v>
      </c>
      <c r="F11" s="15"/>
      <c r="G11" s="22"/>
      <c r="H11" s="23">
        <v>42.0</v>
      </c>
      <c r="I11" s="24"/>
      <c r="J11" s="11">
        <f t="shared" si="3"/>
        <v>68</v>
      </c>
    </row>
    <row r="12">
      <c r="A12" s="1" t="b">
        <v>0</v>
      </c>
      <c r="B12" s="1" t="b">
        <v>0</v>
      </c>
      <c r="C12" s="12">
        <v>3.0</v>
      </c>
      <c r="D12" s="13" t="s">
        <v>26</v>
      </c>
      <c r="E12" s="14"/>
      <c r="F12" s="15"/>
      <c r="G12" s="16">
        <v>22.0</v>
      </c>
      <c r="H12" s="17"/>
      <c r="I12" s="18">
        <v>22.0</v>
      </c>
      <c r="J12" s="11">
        <f t="shared" si="3"/>
        <v>44</v>
      </c>
    </row>
    <row r="13">
      <c r="A13" s="1" t="b">
        <v>0</v>
      </c>
      <c r="B13" s="1" t="b">
        <v>0</v>
      </c>
      <c r="C13" s="12">
        <v>3.0</v>
      </c>
      <c r="D13" s="13" t="s">
        <v>27</v>
      </c>
      <c r="E13" s="14"/>
      <c r="F13" s="25">
        <v>22.0</v>
      </c>
      <c r="G13" s="22"/>
      <c r="H13" s="17"/>
      <c r="I13" s="18">
        <v>22.0</v>
      </c>
      <c r="J13" s="11">
        <f t="shared" si="3"/>
        <v>44</v>
      </c>
    </row>
    <row r="14">
      <c r="A14" s="1" t="b">
        <v>0</v>
      </c>
      <c r="B14" s="1" t="b">
        <v>0</v>
      </c>
      <c r="C14" s="12">
        <v>3.0</v>
      </c>
      <c r="D14" s="13" t="s">
        <v>28</v>
      </c>
      <c r="E14" s="14"/>
      <c r="F14" s="25">
        <v>32.0</v>
      </c>
      <c r="G14" s="16">
        <v>12.0</v>
      </c>
      <c r="H14" s="17"/>
      <c r="I14" s="24"/>
      <c r="J14" s="11">
        <f t="shared" si="3"/>
        <v>44</v>
      </c>
    </row>
    <row r="15">
      <c r="A15" s="1" t="b">
        <v>0</v>
      </c>
      <c r="B15" s="1" t="b">
        <v>0</v>
      </c>
      <c r="C15" s="12">
        <v>3.0</v>
      </c>
      <c r="D15" s="1" t="s">
        <v>29</v>
      </c>
      <c r="E15" s="21">
        <v>12.0</v>
      </c>
      <c r="F15" s="15"/>
      <c r="G15" s="22"/>
      <c r="H15" s="23">
        <v>32.0</v>
      </c>
      <c r="I15" s="24"/>
      <c r="J15" s="11">
        <f t="shared" si="3"/>
        <v>44</v>
      </c>
    </row>
    <row r="16">
      <c r="A16" s="1" t="b">
        <v>0</v>
      </c>
      <c r="B16" s="1" t="b">
        <v>0</v>
      </c>
      <c r="C16" s="19">
        <v>1.0</v>
      </c>
      <c r="D16" s="20" t="s">
        <v>30</v>
      </c>
      <c r="E16" s="21">
        <v>21.0</v>
      </c>
      <c r="F16" s="15"/>
      <c r="G16" s="22"/>
      <c r="H16" s="23">
        <v>21.0</v>
      </c>
      <c r="I16" s="24"/>
      <c r="J16" s="11">
        <f t="shared" si="3"/>
        <v>42</v>
      </c>
    </row>
    <row r="17">
      <c r="A17" s="26" t="b">
        <v>0</v>
      </c>
      <c r="B17" s="26" t="b">
        <v>0</v>
      </c>
      <c r="C17" s="19">
        <v>1.0</v>
      </c>
      <c r="D17" s="20" t="s">
        <v>31</v>
      </c>
      <c r="E17" s="14"/>
      <c r="F17" s="25">
        <v>21.0</v>
      </c>
      <c r="G17" s="22"/>
      <c r="H17" s="17"/>
      <c r="I17" s="18">
        <v>21.0</v>
      </c>
      <c r="J17" s="11">
        <f t="shared" si="3"/>
        <v>42</v>
      </c>
    </row>
    <row r="18">
      <c r="A18" s="26" t="b">
        <v>0</v>
      </c>
      <c r="B18" s="26" t="b">
        <v>0</v>
      </c>
      <c r="C18" s="19">
        <v>1.0</v>
      </c>
      <c r="D18" s="20" t="s">
        <v>32</v>
      </c>
      <c r="E18" s="14"/>
      <c r="F18" s="15"/>
      <c r="G18" s="16">
        <v>21.0</v>
      </c>
      <c r="H18" s="17"/>
      <c r="I18" s="18">
        <v>21.0</v>
      </c>
      <c r="J18" s="11">
        <f t="shared" si="3"/>
        <v>42</v>
      </c>
    </row>
    <row r="19">
      <c r="A19" s="26" t="b">
        <v>0</v>
      </c>
      <c r="B19" s="26" t="b">
        <v>0</v>
      </c>
      <c r="C19" s="19">
        <v>1.0</v>
      </c>
      <c r="D19" s="20" t="s">
        <v>33</v>
      </c>
      <c r="E19" s="14"/>
      <c r="F19" s="25">
        <v>21.0</v>
      </c>
      <c r="G19" s="22"/>
      <c r="H19" s="23">
        <v>21.0</v>
      </c>
      <c r="I19" s="24"/>
      <c r="J19" s="11">
        <f t="shared" si="3"/>
        <v>42</v>
      </c>
    </row>
    <row r="20">
      <c r="A20" s="26" t="b">
        <v>0</v>
      </c>
      <c r="B20" s="26" t="b">
        <v>0</v>
      </c>
      <c r="C20" s="19">
        <v>1.0</v>
      </c>
      <c r="D20" s="20" t="s">
        <v>34</v>
      </c>
      <c r="E20" s="21">
        <v>21.0</v>
      </c>
      <c r="F20" s="15"/>
      <c r="G20" s="22"/>
      <c r="H20" s="23">
        <v>21.0</v>
      </c>
      <c r="I20" s="24"/>
      <c r="J20" s="11">
        <f t="shared" si="3"/>
        <v>42</v>
      </c>
    </row>
    <row r="21">
      <c r="A21" s="26" t="b">
        <v>0</v>
      </c>
      <c r="B21" s="26" t="b">
        <v>0</v>
      </c>
      <c r="C21" s="19">
        <v>2.0</v>
      </c>
      <c r="D21" s="20" t="s">
        <v>35</v>
      </c>
      <c r="E21" s="21">
        <v>21.0</v>
      </c>
      <c r="F21" s="15"/>
      <c r="G21" s="22"/>
      <c r="H21" s="23">
        <v>42.0</v>
      </c>
      <c r="I21" s="24"/>
      <c r="J21" s="11">
        <f t="shared" si="3"/>
        <v>63</v>
      </c>
    </row>
    <row r="22">
      <c r="A22" s="26" t="b">
        <v>0</v>
      </c>
      <c r="B22" s="26" t="b">
        <v>0</v>
      </c>
      <c r="C22" s="19">
        <v>2.0</v>
      </c>
      <c r="D22" s="20" t="s">
        <v>36</v>
      </c>
      <c r="E22" s="21">
        <v>42.0</v>
      </c>
      <c r="F22" s="15"/>
      <c r="G22" s="22"/>
      <c r="H22" s="23">
        <v>21.0</v>
      </c>
      <c r="I22" s="24"/>
      <c r="J22" s="11">
        <f t="shared" si="3"/>
        <v>63</v>
      </c>
    </row>
    <row r="23">
      <c r="A23" s="26" t="b">
        <v>0</v>
      </c>
      <c r="B23" s="26" t="b">
        <v>0</v>
      </c>
      <c r="C23" s="19">
        <v>2.5</v>
      </c>
      <c r="D23" s="20" t="s">
        <v>37</v>
      </c>
      <c r="E23" s="14"/>
      <c r="F23" s="15"/>
      <c r="G23" s="16">
        <v>21.0</v>
      </c>
      <c r="H23" s="17"/>
      <c r="I23" s="18">
        <v>42.0</v>
      </c>
      <c r="J23" s="11">
        <f t="shared" si="3"/>
        <v>63</v>
      </c>
    </row>
    <row r="24">
      <c r="A24" s="26" t="b">
        <v>0</v>
      </c>
      <c r="B24" s="26" t="b">
        <v>0</v>
      </c>
      <c r="C24" s="19">
        <v>2.5</v>
      </c>
      <c r="D24" s="20" t="s">
        <v>38</v>
      </c>
      <c r="E24" s="14"/>
      <c r="F24" s="25">
        <v>42.0</v>
      </c>
      <c r="G24" s="22"/>
      <c r="H24" s="17"/>
      <c r="I24" s="18">
        <v>21.0</v>
      </c>
      <c r="J24" s="11">
        <f t="shared" si="3"/>
        <v>63</v>
      </c>
    </row>
    <row r="25">
      <c r="A25" s="26" t="b">
        <v>0</v>
      </c>
      <c r="B25" s="26" t="b">
        <v>0</v>
      </c>
      <c r="C25" s="12">
        <v>2.5</v>
      </c>
      <c r="D25" s="13" t="s">
        <v>39</v>
      </c>
      <c r="E25" s="21"/>
      <c r="F25" s="25">
        <v>42.0</v>
      </c>
      <c r="G25" s="16">
        <v>21.0</v>
      </c>
      <c r="H25" s="17"/>
      <c r="I25" s="24"/>
      <c r="J25" s="11">
        <f t="shared" si="3"/>
        <v>63</v>
      </c>
    </row>
  </sheetData>
  <mergeCells count="2">
    <mergeCell ref="A1:J1"/>
    <mergeCell ref="K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6.5"/>
    <col customWidth="1" min="3" max="3" width="5.0"/>
    <col customWidth="1" min="4" max="4" width="24.5"/>
    <col customWidth="1" min="5" max="9" width="5.13"/>
    <col customWidth="1" min="10" max="10" width="4.88"/>
    <col customWidth="1" min="11" max="13" width="11.13"/>
  </cols>
  <sheetData>
    <row r="1">
      <c r="A1" s="1" t="s">
        <v>0</v>
      </c>
      <c r="K1" s="2" t="s">
        <v>1</v>
      </c>
    </row>
    <row r="2">
      <c r="A2" s="3" t="s">
        <v>2</v>
      </c>
      <c r="B2" s="3" t="s">
        <v>2</v>
      </c>
      <c r="C2" s="3"/>
      <c r="E2" s="4" t="s">
        <v>3</v>
      </c>
      <c r="F2" s="5" t="s">
        <v>4</v>
      </c>
      <c r="G2" s="6" t="s">
        <v>5</v>
      </c>
      <c r="H2" s="7" t="s">
        <v>6</v>
      </c>
      <c r="I2" s="8" t="s">
        <v>7</v>
      </c>
      <c r="J2" s="3" t="s">
        <v>2</v>
      </c>
      <c r="K2" s="2" t="s">
        <v>8</v>
      </c>
      <c r="L2" s="2" t="s">
        <v>9</v>
      </c>
      <c r="M2" s="2" t="s">
        <v>10</v>
      </c>
    </row>
    <row r="3">
      <c r="A3" s="3">
        <f t="shared" ref="A3:B3" si="1">COUNTIF(A5:A17,TRUE)</f>
        <v>3</v>
      </c>
      <c r="B3" s="3">
        <f t="shared" si="1"/>
        <v>0</v>
      </c>
      <c r="C3" s="3"/>
      <c r="D3" s="9" t="s">
        <v>11</v>
      </c>
      <c r="E3" s="10">
        <f t="shared" ref="E3:I3" si="2">SUMIF($A5:$A25, "TRUE", E5:E25) - SUMIF($B5:$B25, "TRUE", E5:E25)</f>
        <v>46</v>
      </c>
      <c r="F3" s="5">
        <f t="shared" si="2"/>
        <v>0</v>
      </c>
      <c r="G3" s="6">
        <f t="shared" si="2"/>
        <v>32</v>
      </c>
      <c r="H3" s="7">
        <f t="shared" si="2"/>
        <v>28</v>
      </c>
      <c r="I3" s="8">
        <f t="shared" si="2"/>
        <v>26</v>
      </c>
      <c r="J3" s="11">
        <f>SUM(E3:I3)</f>
        <v>132</v>
      </c>
      <c r="K3" s="2" t="s">
        <v>12</v>
      </c>
      <c r="L3" s="2" t="s">
        <v>13</v>
      </c>
      <c r="M3" s="2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 t="s">
        <v>3</v>
      </c>
      <c r="F4" s="5" t="s">
        <v>4</v>
      </c>
      <c r="G4" s="6" t="s">
        <v>5</v>
      </c>
      <c r="H4" s="7" t="s">
        <v>6</v>
      </c>
      <c r="I4" s="8" t="s">
        <v>7</v>
      </c>
      <c r="J4" s="3" t="s">
        <v>2</v>
      </c>
    </row>
    <row r="5">
      <c r="A5" s="1" t="b">
        <v>1</v>
      </c>
      <c r="B5" s="1" t="b">
        <v>0</v>
      </c>
      <c r="C5" s="12">
        <v>1.0</v>
      </c>
      <c r="D5" s="13" t="s">
        <v>19</v>
      </c>
      <c r="E5" s="14"/>
      <c r="F5" s="15"/>
      <c r="G5" s="16">
        <v>32.0</v>
      </c>
      <c r="H5" s="17"/>
      <c r="I5" s="18">
        <v>12.0</v>
      </c>
      <c r="J5" s="11">
        <f t="shared" ref="J5:J25" si="3">SUM(E5:I5)</f>
        <v>44</v>
      </c>
    </row>
    <row r="6">
      <c r="A6" s="1" t="b">
        <v>1</v>
      </c>
      <c r="B6" s="1" t="b">
        <v>0</v>
      </c>
      <c r="C6" s="19">
        <v>1.0</v>
      </c>
      <c r="D6" s="20" t="s">
        <v>20</v>
      </c>
      <c r="E6" s="21">
        <v>14.0</v>
      </c>
      <c r="F6" s="15"/>
      <c r="G6" s="22"/>
      <c r="H6" s="23">
        <v>16.0</v>
      </c>
      <c r="I6" s="18">
        <v>14.0</v>
      </c>
      <c r="J6" s="11">
        <f t="shared" si="3"/>
        <v>44</v>
      </c>
    </row>
    <row r="7">
      <c r="A7" s="1" t="b">
        <v>1</v>
      </c>
      <c r="B7" s="1" t="b">
        <v>0</v>
      </c>
      <c r="C7" s="19">
        <v>1.0</v>
      </c>
      <c r="D7" s="20" t="s">
        <v>21</v>
      </c>
      <c r="E7" s="21">
        <v>32.0</v>
      </c>
      <c r="F7" s="15"/>
      <c r="G7" s="22"/>
      <c r="H7" s="23">
        <v>12.0</v>
      </c>
      <c r="I7" s="24"/>
      <c r="J7" s="11">
        <f t="shared" si="3"/>
        <v>44</v>
      </c>
    </row>
    <row r="8">
      <c r="A8" s="1" t="b">
        <v>0</v>
      </c>
      <c r="B8" s="1" t="b">
        <v>0</v>
      </c>
      <c r="C8" s="19">
        <v>1.0</v>
      </c>
      <c r="D8" s="20" t="s">
        <v>30</v>
      </c>
      <c r="E8" s="21">
        <v>21.0</v>
      </c>
      <c r="F8" s="15"/>
      <c r="G8" s="22"/>
      <c r="H8" s="23">
        <v>21.0</v>
      </c>
      <c r="I8" s="24"/>
      <c r="J8" s="11">
        <f t="shared" si="3"/>
        <v>42</v>
      </c>
    </row>
    <row r="9">
      <c r="A9" s="1" t="b">
        <v>0</v>
      </c>
      <c r="B9" s="26" t="b">
        <v>0</v>
      </c>
      <c r="C9" s="19">
        <v>1.0</v>
      </c>
      <c r="D9" s="20" t="s">
        <v>31</v>
      </c>
      <c r="E9" s="14"/>
      <c r="F9" s="25">
        <v>21.0</v>
      </c>
      <c r="G9" s="22"/>
      <c r="H9" s="17"/>
      <c r="I9" s="18">
        <v>21.0</v>
      </c>
      <c r="J9" s="11">
        <f t="shared" si="3"/>
        <v>42</v>
      </c>
    </row>
    <row r="10">
      <c r="A10" s="26" t="b">
        <v>0</v>
      </c>
      <c r="B10" s="26" t="b">
        <v>0</v>
      </c>
      <c r="C10" s="19">
        <v>1.0</v>
      </c>
      <c r="D10" s="20" t="s">
        <v>32</v>
      </c>
      <c r="E10" s="14"/>
      <c r="F10" s="15"/>
      <c r="G10" s="16">
        <v>21.0</v>
      </c>
      <c r="H10" s="17"/>
      <c r="I10" s="18">
        <v>21.0</v>
      </c>
      <c r="J10" s="11">
        <f t="shared" si="3"/>
        <v>42</v>
      </c>
    </row>
    <row r="11">
      <c r="A11" s="1" t="b">
        <v>0</v>
      </c>
      <c r="B11" s="26" t="b">
        <v>0</v>
      </c>
      <c r="C11" s="19">
        <v>1.0</v>
      </c>
      <c r="D11" s="20" t="s">
        <v>33</v>
      </c>
      <c r="E11" s="14"/>
      <c r="F11" s="25">
        <v>21.0</v>
      </c>
      <c r="G11" s="22"/>
      <c r="H11" s="23">
        <v>21.0</v>
      </c>
      <c r="I11" s="24"/>
      <c r="J11" s="11">
        <f t="shared" si="3"/>
        <v>42</v>
      </c>
    </row>
    <row r="12">
      <c r="A12" s="26" t="b">
        <v>0</v>
      </c>
      <c r="B12" s="26" t="b">
        <v>0</v>
      </c>
      <c r="C12" s="19">
        <v>1.0</v>
      </c>
      <c r="D12" s="20" t="s">
        <v>34</v>
      </c>
      <c r="E12" s="21">
        <v>21.0</v>
      </c>
      <c r="F12" s="15"/>
      <c r="G12" s="22"/>
      <c r="H12" s="23">
        <v>21.0</v>
      </c>
      <c r="I12" s="24"/>
      <c r="J12" s="11">
        <f t="shared" si="3"/>
        <v>42</v>
      </c>
    </row>
    <row r="13">
      <c r="A13" s="26" t="b">
        <v>0</v>
      </c>
      <c r="B13" s="26" t="b">
        <v>0</v>
      </c>
      <c r="C13" s="19">
        <v>2.0</v>
      </c>
      <c r="D13" s="20" t="s">
        <v>35</v>
      </c>
      <c r="E13" s="21">
        <v>21.0</v>
      </c>
      <c r="F13" s="15"/>
      <c r="G13" s="22"/>
      <c r="H13" s="23">
        <v>42.0</v>
      </c>
      <c r="I13" s="24"/>
      <c r="J13" s="11">
        <f t="shared" si="3"/>
        <v>63</v>
      </c>
    </row>
    <row r="14">
      <c r="A14" s="26" t="b">
        <v>0</v>
      </c>
      <c r="B14" s="26" t="b">
        <v>0</v>
      </c>
      <c r="C14" s="19">
        <v>2.0</v>
      </c>
      <c r="D14" s="20" t="s">
        <v>36</v>
      </c>
      <c r="E14" s="21">
        <v>42.0</v>
      </c>
      <c r="F14" s="15"/>
      <c r="G14" s="22"/>
      <c r="H14" s="23">
        <v>21.0</v>
      </c>
      <c r="I14" s="24"/>
      <c r="J14" s="11">
        <f t="shared" si="3"/>
        <v>63</v>
      </c>
    </row>
    <row r="15">
      <c r="A15" s="26" t="b">
        <v>0</v>
      </c>
      <c r="B15" s="26" t="b">
        <v>0</v>
      </c>
      <c r="C15" s="19">
        <v>2.5</v>
      </c>
      <c r="D15" s="20" t="s">
        <v>37</v>
      </c>
      <c r="E15" s="14"/>
      <c r="F15" s="15"/>
      <c r="G15" s="16">
        <v>21.0</v>
      </c>
      <c r="H15" s="17"/>
      <c r="I15" s="18">
        <v>42.0</v>
      </c>
      <c r="J15" s="11">
        <f t="shared" si="3"/>
        <v>63</v>
      </c>
    </row>
    <row r="16">
      <c r="A16" s="26" t="b">
        <v>0</v>
      </c>
      <c r="B16" s="26" t="b">
        <v>0</v>
      </c>
      <c r="C16" s="19">
        <v>2.5</v>
      </c>
      <c r="D16" s="20" t="s">
        <v>38</v>
      </c>
      <c r="E16" s="14"/>
      <c r="F16" s="25">
        <v>42.0</v>
      </c>
      <c r="G16" s="22"/>
      <c r="H16" s="17"/>
      <c r="I16" s="18">
        <v>21.0</v>
      </c>
      <c r="J16" s="11">
        <f t="shared" si="3"/>
        <v>63</v>
      </c>
    </row>
    <row r="17">
      <c r="A17" s="26" t="b">
        <v>0</v>
      </c>
      <c r="B17" s="26" t="b">
        <v>0</v>
      </c>
      <c r="C17" s="12">
        <v>2.5</v>
      </c>
      <c r="D17" s="13" t="s">
        <v>39</v>
      </c>
      <c r="E17" s="21"/>
      <c r="F17" s="25">
        <v>42.0</v>
      </c>
      <c r="G17" s="16">
        <v>21.0</v>
      </c>
      <c r="H17" s="17"/>
      <c r="I17" s="24"/>
      <c r="J17" s="11">
        <f t="shared" si="3"/>
        <v>63</v>
      </c>
    </row>
    <row r="18">
      <c r="A18" s="1" t="b">
        <v>0</v>
      </c>
      <c r="B18" s="1" t="b">
        <v>0</v>
      </c>
      <c r="C18" s="19">
        <v>2.0</v>
      </c>
      <c r="D18" s="20" t="s">
        <v>22</v>
      </c>
      <c r="E18" s="14"/>
      <c r="F18" s="25">
        <v>21.0</v>
      </c>
      <c r="G18" s="22"/>
      <c r="H18" s="23">
        <v>21.0</v>
      </c>
      <c r="I18" s="24"/>
      <c r="J18" s="11">
        <f t="shared" si="3"/>
        <v>42</v>
      </c>
    </row>
    <row r="19">
      <c r="A19" s="1" t="b">
        <v>0</v>
      </c>
      <c r="B19" s="1" t="b">
        <v>0</v>
      </c>
      <c r="C19" s="19">
        <v>2.5</v>
      </c>
      <c r="D19" s="20" t="s">
        <v>23</v>
      </c>
      <c r="E19" s="21">
        <v>21.0</v>
      </c>
      <c r="F19" s="15"/>
      <c r="G19" s="16">
        <v>21.0</v>
      </c>
      <c r="H19" s="17"/>
      <c r="I19" s="18">
        <v>21.0</v>
      </c>
      <c r="J19" s="11">
        <f t="shared" si="3"/>
        <v>63</v>
      </c>
    </row>
    <row r="20">
      <c r="A20" s="1" t="b">
        <v>0</v>
      </c>
      <c r="B20" s="1" t="b">
        <v>0</v>
      </c>
      <c r="C20" s="12">
        <v>3.0</v>
      </c>
      <c r="D20" s="20" t="s">
        <v>24</v>
      </c>
      <c r="E20" s="21">
        <v>42.0</v>
      </c>
      <c r="F20" s="15"/>
      <c r="G20" s="22"/>
      <c r="H20" s="23">
        <v>26.0</v>
      </c>
      <c r="I20" s="24"/>
      <c r="J20" s="11">
        <f t="shared" si="3"/>
        <v>68</v>
      </c>
    </row>
    <row r="21">
      <c r="A21" s="1" t="b">
        <v>0</v>
      </c>
      <c r="B21" s="1" t="b">
        <v>0</v>
      </c>
      <c r="C21" s="12">
        <v>3.0</v>
      </c>
      <c r="D21" s="13" t="s">
        <v>25</v>
      </c>
      <c r="E21" s="21">
        <v>26.0</v>
      </c>
      <c r="F21" s="15"/>
      <c r="G21" s="22"/>
      <c r="H21" s="23">
        <v>42.0</v>
      </c>
      <c r="I21" s="24"/>
      <c r="J21" s="11">
        <f t="shared" si="3"/>
        <v>68</v>
      </c>
    </row>
    <row r="22">
      <c r="A22" s="1" t="b">
        <v>0</v>
      </c>
      <c r="B22" s="1" t="b">
        <v>0</v>
      </c>
      <c r="C22" s="12">
        <v>3.0</v>
      </c>
      <c r="D22" s="13" t="s">
        <v>26</v>
      </c>
      <c r="E22" s="14"/>
      <c r="F22" s="15"/>
      <c r="G22" s="16">
        <v>22.0</v>
      </c>
      <c r="H22" s="17"/>
      <c r="I22" s="18">
        <v>22.0</v>
      </c>
      <c r="J22" s="11">
        <f t="shared" si="3"/>
        <v>44</v>
      </c>
    </row>
    <row r="23">
      <c r="A23" s="1" t="b">
        <v>0</v>
      </c>
      <c r="B23" s="1" t="b">
        <v>0</v>
      </c>
      <c r="C23" s="12">
        <v>3.0</v>
      </c>
      <c r="D23" s="13" t="s">
        <v>27</v>
      </c>
      <c r="E23" s="14"/>
      <c r="F23" s="25">
        <v>22.0</v>
      </c>
      <c r="G23" s="22"/>
      <c r="H23" s="17"/>
      <c r="I23" s="18">
        <v>22.0</v>
      </c>
      <c r="J23" s="11">
        <f t="shared" si="3"/>
        <v>44</v>
      </c>
    </row>
    <row r="24">
      <c r="A24" s="1" t="b">
        <v>0</v>
      </c>
      <c r="B24" s="1" t="b">
        <v>0</v>
      </c>
      <c r="C24" s="12">
        <v>3.0</v>
      </c>
      <c r="D24" s="13" t="s">
        <v>28</v>
      </c>
      <c r="E24" s="14"/>
      <c r="F24" s="25">
        <v>32.0</v>
      </c>
      <c r="G24" s="16">
        <v>12.0</v>
      </c>
      <c r="H24" s="17"/>
      <c r="I24" s="24"/>
      <c r="J24" s="11">
        <f t="shared" si="3"/>
        <v>44</v>
      </c>
    </row>
    <row r="25">
      <c r="A25" s="1" t="b">
        <v>0</v>
      </c>
      <c r="B25" s="1" t="b">
        <v>0</v>
      </c>
      <c r="C25" s="12">
        <v>3.0</v>
      </c>
      <c r="D25" s="1" t="s">
        <v>29</v>
      </c>
      <c r="E25" s="21">
        <v>12.0</v>
      </c>
      <c r="F25" s="15"/>
      <c r="G25" s="22"/>
      <c r="H25" s="23">
        <v>32.0</v>
      </c>
      <c r="I25" s="24"/>
      <c r="J25" s="11">
        <f t="shared" si="3"/>
        <v>44</v>
      </c>
    </row>
  </sheetData>
  <mergeCells count="2">
    <mergeCell ref="A1:J1"/>
    <mergeCell ref="K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6.5"/>
    <col customWidth="1" min="3" max="3" width="5.0"/>
    <col customWidth="1" min="4" max="4" width="24.5"/>
    <col customWidth="1" min="5" max="9" width="5.13"/>
    <col customWidth="1" min="10" max="10" width="4.88"/>
    <col customWidth="1" min="11" max="13" width="11.13"/>
  </cols>
  <sheetData>
    <row r="1">
      <c r="A1" s="1" t="s">
        <v>0</v>
      </c>
      <c r="K1" s="2" t="s">
        <v>1</v>
      </c>
    </row>
    <row r="2">
      <c r="A2" s="3" t="s">
        <v>2</v>
      </c>
      <c r="B2" s="3" t="s">
        <v>2</v>
      </c>
      <c r="C2" s="3"/>
      <c r="E2" s="4" t="s">
        <v>3</v>
      </c>
      <c r="F2" s="5" t="s">
        <v>4</v>
      </c>
      <c r="G2" s="6" t="s">
        <v>5</v>
      </c>
      <c r="H2" s="7" t="s">
        <v>6</v>
      </c>
      <c r="I2" s="8" t="s">
        <v>7</v>
      </c>
      <c r="J2" s="3" t="s">
        <v>2</v>
      </c>
      <c r="K2" s="2" t="s">
        <v>8</v>
      </c>
      <c r="L2" s="2" t="s">
        <v>9</v>
      </c>
      <c r="M2" s="2" t="s">
        <v>10</v>
      </c>
    </row>
    <row r="3">
      <c r="A3" s="3">
        <f t="shared" ref="A3:B3" si="1">COUNTIF(A5:A19,TRUE)</f>
        <v>2</v>
      </c>
      <c r="B3" s="3">
        <f t="shared" si="1"/>
        <v>0</v>
      </c>
      <c r="C3" s="3"/>
      <c r="D3" s="9" t="s">
        <v>11</v>
      </c>
      <c r="E3" s="10">
        <f t="shared" ref="E3:I3" si="2">SUMIF($A5:$A25, "TRUE", E5:E25) - SUMIF($B5:$B25, "TRUE", E5:E25)</f>
        <v>21</v>
      </c>
      <c r="F3" s="5">
        <f t="shared" si="2"/>
        <v>21</v>
      </c>
      <c r="G3" s="6">
        <f t="shared" si="2"/>
        <v>21</v>
      </c>
      <c r="H3" s="7">
        <f t="shared" si="2"/>
        <v>21</v>
      </c>
      <c r="I3" s="8">
        <f t="shared" si="2"/>
        <v>21</v>
      </c>
      <c r="J3" s="11">
        <f>SUM(E3:I3)</f>
        <v>105</v>
      </c>
      <c r="K3" s="2" t="s">
        <v>12</v>
      </c>
      <c r="L3" s="2" t="s">
        <v>13</v>
      </c>
      <c r="M3" s="2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 t="s">
        <v>3</v>
      </c>
      <c r="F4" s="5" t="s">
        <v>4</v>
      </c>
      <c r="G4" s="6" t="s">
        <v>5</v>
      </c>
      <c r="H4" s="7" t="s">
        <v>6</v>
      </c>
      <c r="I4" s="8" t="s">
        <v>7</v>
      </c>
      <c r="J4" s="3" t="s">
        <v>2</v>
      </c>
    </row>
    <row r="5">
      <c r="A5" s="1" t="b">
        <v>1</v>
      </c>
      <c r="B5" s="1" t="b">
        <v>0</v>
      </c>
      <c r="C5" s="19">
        <v>2.0</v>
      </c>
      <c r="D5" s="20" t="s">
        <v>22</v>
      </c>
      <c r="E5" s="14"/>
      <c r="F5" s="25">
        <v>21.0</v>
      </c>
      <c r="G5" s="22"/>
      <c r="H5" s="23">
        <v>21.0</v>
      </c>
      <c r="I5" s="24"/>
      <c r="J5" s="11">
        <f t="shared" ref="J5:J25" si="3">SUM(E5:I5)</f>
        <v>42</v>
      </c>
    </row>
    <row r="6">
      <c r="A6" s="1" t="b">
        <v>1</v>
      </c>
      <c r="B6" s="1" t="b">
        <v>0</v>
      </c>
      <c r="C6" s="19">
        <v>2.5</v>
      </c>
      <c r="D6" s="20" t="s">
        <v>23</v>
      </c>
      <c r="E6" s="21">
        <v>21.0</v>
      </c>
      <c r="F6" s="15"/>
      <c r="G6" s="16">
        <v>21.0</v>
      </c>
      <c r="H6" s="17"/>
      <c r="I6" s="18">
        <v>21.0</v>
      </c>
      <c r="J6" s="11">
        <f t="shared" si="3"/>
        <v>63</v>
      </c>
    </row>
    <row r="7">
      <c r="A7" s="1" t="b">
        <v>0</v>
      </c>
      <c r="B7" s="1" t="b">
        <v>0</v>
      </c>
      <c r="C7" s="12">
        <v>1.0</v>
      </c>
      <c r="D7" s="13" t="s">
        <v>19</v>
      </c>
      <c r="E7" s="14"/>
      <c r="F7" s="15"/>
      <c r="G7" s="16">
        <v>32.0</v>
      </c>
      <c r="H7" s="17"/>
      <c r="I7" s="18">
        <v>12.0</v>
      </c>
      <c r="J7" s="11">
        <f t="shared" si="3"/>
        <v>44</v>
      </c>
    </row>
    <row r="8">
      <c r="A8" s="1" t="b">
        <v>0</v>
      </c>
      <c r="B8" s="1" t="b">
        <v>0</v>
      </c>
      <c r="C8" s="19">
        <v>1.0</v>
      </c>
      <c r="D8" s="20" t="s">
        <v>20</v>
      </c>
      <c r="E8" s="21">
        <v>14.0</v>
      </c>
      <c r="F8" s="15"/>
      <c r="G8" s="22"/>
      <c r="H8" s="23">
        <v>16.0</v>
      </c>
      <c r="I8" s="18">
        <v>14.0</v>
      </c>
      <c r="J8" s="11">
        <f t="shared" si="3"/>
        <v>44</v>
      </c>
    </row>
    <row r="9">
      <c r="A9" s="1" t="b">
        <v>0</v>
      </c>
      <c r="B9" s="1" t="b">
        <v>0</v>
      </c>
      <c r="C9" s="19">
        <v>1.0</v>
      </c>
      <c r="D9" s="20" t="s">
        <v>21</v>
      </c>
      <c r="E9" s="21">
        <v>32.0</v>
      </c>
      <c r="F9" s="15"/>
      <c r="G9" s="22"/>
      <c r="H9" s="23">
        <v>12.0</v>
      </c>
      <c r="I9" s="24"/>
      <c r="J9" s="11">
        <f t="shared" si="3"/>
        <v>44</v>
      </c>
    </row>
    <row r="10">
      <c r="A10" s="26" t="b">
        <v>0</v>
      </c>
      <c r="B10" s="26" t="b">
        <v>0</v>
      </c>
      <c r="C10" s="19">
        <v>2.0</v>
      </c>
      <c r="D10" s="20" t="s">
        <v>35</v>
      </c>
      <c r="E10" s="21">
        <v>21.0</v>
      </c>
      <c r="F10" s="15"/>
      <c r="G10" s="22"/>
      <c r="H10" s="23">
        <v>42.0</v>
      </c>
      <c r="I10" s="24"/>
      <c r="J10" s="11">
        <f t="shared" si="3"/>
        <v>63</v>
      </c>
    </row>
    <row r="11">
      <c r="A11" s="26" t="b">
        <v>0</v>
      </c>
      <c r="B11" s="26" t="b">
        <v>0</v>
      </c>
      <c r="C11" s="19">
        <v>2.0</v>
      </c>
      <c r="D11" s="20" t="s">
        <v>36</v>
      </c>
      <c r="E11" s="21">
        <v>42.0</v>
      </c>
      <c r="F11" s="15"/>
      <c r="G11" s="22"/>
      <c r="H11" s="23">
        <v>21.0</v>
      </c>
      <c r="I11" s="24"/>
      <c r="J11" s="11">
        <f t="shared" si="3"/>
        <v>63</v>
      </c>
    </row>
    <row r="12">
      <c r="A12" s="26" t="b">
        <v>0</v>
      </c>
      <c r="B12" s="26" t="b">
        <v>0</v>
      </c>
      <c r="C12" s="19">
        <v>2.5</v>
      </c>
      <c r="D12" s="20" t="s">
        <v>38</v>
      </c>
      <c r="E12" s="14"/>
      <c r="F12" s="25">
        <v>42.0</v>
      </c>
      <c r="G12" s="22"/>
      <c r="H12" s="17"/>
      <c r="I12" s="18">
        <v>21.0</v>
      </c>
      <c r="J12" s="11">
        <f t="shared" si="3"/>
        <v>63</v>
      </c>
    </row>
    <row r="13">
      <c r="A13" s="26" t="b">
        <v>0</v>
      </c>
      <c r="B13" s="26" t="b">
        <v>0</v>
      </c>
      <c r="C13" s="19">
        <v>2.5</v>
      </c>
      <c r="D13" s="20" t="s">
        <v>37</v>
      </c>
      <c r="E13" s="14"/>
      <c r="F13" s="15"/>
      <c r="G13" s="16">
        <v>21.0</v>
      </c>
      <c r="H13" s="17"/>
      <c r="I13" s="18">
        <v>42.0</v>
      </c>
      <c r="J13" s="11">
        <f t="shared" si="3"/>
        <v>63</v>
      </c>
    </row>
    <row r="14">
      <c r="A14" s="26" t="b">
        <v>0</v>
      </c>
      <c r="B14" s="26" t="b">
        <v>0</v>
      </c>
      <c r="C14" s="12">
        <v>2.5</v>
      </c>
      <c r="D14" s="13" t="s">
        <v>39</v>
      </c>
      <c r="E14" s="21"/>
      <c r="F14" s="25">
        <v>42.0</v>
      </c>
      <c r="G14" s="16">
        <v>21.0</v>
      </c>
      <c r="H14" s="17"/>
      <c r="I14" s="24"/>
      <c r="J14" s="11">
        <f t="shared" si="3"/>
        <v>63</v>
      </c>
    </row>
    <row r="15">
      <c r="A15" s="1" t="b">
        <v>0</v>
      </c>
      <c r="B15" s="1" t="b">
        <v>0</v>
      </c>
      <c r="C15" s="19">
        <v>1.0</v>
      </c>
      <c r="D15" s="20" t="s">
        <v>30</v>
      </c>
      <c r="E15" s="21">
        <v>21.0</v>
      </c>
      <c r="F15" s="15"/>
      <c r="G15" s="22"/>
      <c r="H15" s="23">
        <v>21.0</v>
      </c>
      <c r="I15" s="24"/>
      <c r="J15" s="11">
        <f t="shared" si="3"/>
        <v>42</v>
      </c>
    </row>
    <row r="16">
      <c r="A16" s="26" t="b">
        <v>0</v>
      </c>
      <c r="B16" s="26" t="b">
        <v>0</v>
      </c>
      <c r="C16" s="19">
        <v>1.0</v>
      </c>
      <c r="D16" s="20" t="s">
        <v>31</v>
      </c>
      <c r="E16" s="14"/>
      <c r="F16" s="25">
        <v>21.0</v>
      </c>
      <c r="G16" s="22"/>
      <c r="H16" s="17"/>
      <c r="I16" s="18">
        <v>21.0</v>
      </c>
      <c r="J16" s="11">
        <f t="shared" si="3"/>
        <v>42</v>
      </c>
    </row>
    <row r="17">
      <c r="A17" s="26" t="b">
        <v>0</v>
      </c>
      <c r="B17" s="26" t="b">
        <v>0</v>
      </c>
      <c r="C17" s="19">
        <v>1.0</v>
      </c>
      <c r="D17" s="20" t="s">
        <v>32</v>
      </c>
      <c r="E17" s="14"/>
      <c r="F17" s="15"/>
      <c r="G17" s="16">
        <v>21.0</v>
      </c>
      <c r="H17" s="17"/>
      <c r="I17" s="18">
        <v>21.0</v>
      </c>
      <c r="J17" s="11">
        <f t="shared" si="3"/>
        <v>42</v>
      </c>
    </row>
    <row r="18">
      <c r="A18" s="26" t="b">
        <v>0</v>
      </c>
      <c r="B18" s="26" t="b">
        <v>0</v>
      </c>
      <c r="C18" s="19">
        <v>1.0</v>
      </c>
      <c r="D18" s="20" t="s">
        <v>33</v>
      </c>
      <c r="E18" s="14"/>
      <c r="F18" s="25">
        <v>21.0</v>
      </c>
      <c r="G18" s="22"/>
      <c r="H18" s="23">
        <v>21.0</v>
      </c>
      <c r="I18" s="24"/>
      <c r="J18" s="11">
        <f t="shared" si="3"/>
        <v>42</v>
      </c>
    </row>
    <row r="19">
      <c r="A19" s="26" t="b">
        <v>0</v>
      </c>
      <c r="B19" s="26" t="b">
        <v>0</v>
      </c>
      <c r="C19" s="19">
        <v>1.0</v>
      </c>
      <c r="D19" s="20" t="s">
        <v>34</v>
      </c>
      <c r="E19" s="21">
        <v>21.0</v>
      </c>
      <c r="F19" s="15"/>
      <c r="G19" s="22"/>
      <c r="H19" s="23">
        <v>21.0</v>
      </c>
      <c r="I19" s="24"/>
      <c r="J19" s="11">
        <f t="shared" si="3"/>
        <v>42</v>
      </c>
    </row>
    <row r="20">
      <c r="A20" s="1" t="b">
        <v>0</v>
      </c>
      <c r="B20" s="1" t="b">
        <v>0</v>
      </c>
      <c r="C20" s="12">
        <v>3.0</v>
      </c>
      <c r="D20" s="20" t="s">
        <v>24</v>
      </c>
      <c r="E20" s="21">
        <v>42.0</v>
      </c>
      <c r="F20" s="15"/>
      <c r="G20" s="22"/>
      <c r="H20" s="23">
        <v>26.0</v>
      </c>
      <c r="I20" s="24"/>
      <c r="J20" s="11">
        <f t="shared" si="3"/>
        <v>68</v>
      </c>
    </row>
    <row r="21">
      <c r="A21" s="1" t="b">
        <v>0</v>
      </c>
      <c r="B21" s="1" t="b">
        <v>0</v>
      </c>
      <c r="C21" s="12">
        <v>3.0</v>
      </c>
      <c r="D21" s="13" t="s">
        <v>25</v>
      </c>
      <c r="E21" s="21">
        <v>26.0</v>
      </c>
      <c r="F21" s="15"/>
      <c r="G21" s="22"/>
      <c r="H21" s="23">
        <v>42.0</v>
      </c>
      <c r="I21" s="24"/>
      <c r="J21" s="11">
        <f t="shared" si="3"/>
        <v>68</v>
      </c>
    </row>
    <row r="22">
      <c r="A22" s="1" t="b">
        <v>0</v>
      </c>
      <c r="B22" s="1" t="b">
        <v>0</v>
      </c>
      <c r="C22" s="12">
        <v>3.0</v>
      </c>
      <c r="D22" s="13" t="s">
        <v>26</v>
      </c>
      <c r="E22" s="14"/>
      <c r="F22" s="15"/>
      <c r="G22" s="16">
        <v>22.0</v>
      </c>
      <c r="H22" s="17"/>
      <c r="I22" s="18">
        <v>22.0</v>
      </c>
      <c r="J22" s="11">
        <f t="shared" si="3"/>
        <v>44</v>
      </c>
    </row>
    <row r="23">
      <c r="A23" s="1" t="b">
        <v>0</v>
      </c>
      <c r="B23" s="1" t="b">
        <v>0</v>
      </c>
      <c r="C23" s="12">
        <v>3.0</v>
      </c>
      <c r="D23" s="13" t="s">
        <v>27</v>
      </c>
      <c r="E23" s="14"/>
      <c r="F23" s="25">
        <v>22.0</v>
      </c>
      <c r="G23" s="22"/>
      <c r="H23" s="17"/>
      <c r="I23" s="18">
        <v>22.0</v>
      </c>
      <c r="J23" s="11">
        <f t="shared" si="3"/>
        <v>44</v>
      </c>
    </row>
    <row r="24">
      <c r="A24" s="1" t="b">
        <v>0</v>
      </c>
      <c r="B24" s="1" t="b">
        <v>0</v>
      </c>
      <c r="C24" s="12">
        <v>3.0</v>
      </c>
      <c r="D24" s="13" t="s">
        <v>28</v>
      </c>
      <c r="E24" s="14"/>
      <c r="F24" s="25">
        <v>32.0</v>
      </c>
      <c r="G24" s="16">
        <v>12.0</v>
      </c>
      <c r="H24" s="17"/>
      <c r="I24" s="24"/>
      <c r="J24" s="11">
        <f t="shared" si="3"/>
        <v>44</v>
      </c>
    </row>
    <row r="25">
      <c r="A25" s="1" t="b">
        <v>0</v>
      </c>
      <c r="B25" s="1" t="b">
        <v>0</v>
      </c>
      <c r="C25" s="12">
        <v>3.0</v>
      </c>
      <c r="D25" s="1" t="s">
        <v>29</v>
      </c>
      <c r="E25" s="21">
        <v>12.0</v>
      </c>
      <c r="F25" s="15"/>
      <c r="G25" s="22"/>
      <c r="H25" s="23">
        <v>32.0</v>
      </c>
      <c r="I25" s="24"/>
      <c r="J25" s="11">
        <f t="shared" si="3"/>
        <v>44</v>
      </c>
    </row>
  </sheetData>
  <mergeCells count="2">
    <mergeCell ref="A1:J1"/>
    <mergeCell ref="K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6.5"/>
    <col customWidth="1" min="3" max="3" width="5.0"/>
    <col customWidth="1" min="4" max="4" width="24.5"/>
    <col customWidth="1" min="5" max="9" width="5.13"/>
    <col customWidth="1" min="10" max="10" width="4.88"/>
    <col customWidth="1" min="11" max="13" width="11.13"/>
  </cols>
  <sheetData>
    <row r="1">
      <c r="A1" s="1" t="s">
        <v>0</v>
      </c>
      <c r="K1" s="2" t="s">
        <v>1</v>
      </c>
    </row>
    <row r="2">
      <c r="A2" s="3" t="s">
        <v>2</v>
      </c>
      <c r="B2" s="3" t="s">
        <v>2</v>
      </c>
      <c r="C2" s="3"/>
      <c r="E2" s="4" t="s">
        <v>3</v>
      </c>
      <c r="F2" s="5" t="s">
        <v>4</v>
      </c>
      <c r="G2" s="6" t="s">
        <v>5</v>
      </c>
      <c r="H2" s="7" t="s">
        <v>6</v>
      </c>
      <c r="I2" s="8" t="s">
        <v>7</v>
      </c>
      <c r="J2" s="3" t="s">
        <v>2</v>
      </c>
      <c r="K2" s="2" t="s">
        <v>8</v>
      </c>
      <c r="L2" s="2" t="s">
        <v>9</v>
      </c>
      <c r="M2" s="2" t="s">
        <v>10</v>
      </c>
    </row>
    <row r="3">
      <c r="A3" s="3">
        <f t="shared" ref="A3:B3" si="1">COUNTIF(A11:A25,TRUE)</f>
        <v>0</v>
      </c>
      <c r="B3" s="3">
        <f t="shared" si="1"/>
        <v>0</v>
      </c>
      <c r="C3" s="3"/>
      <c r="D3" s="9" t="s">
        <v>11</v>
      </c>
      <c r="E3" s="10">
        <f t="shared" ref="E3:I3" si="2">SUMIF($A5:$A25, "TRUE", E5:E25) - SUMIF($B5:$B25, "TRUE", E5:E25)</f>
        <v>80</v>
      </c>
      <c r="F3" s="5">
        <f t="shared" si="2"/>
        <v>54</v>
      </c>
      <c r="G3" s="6">
        <f t="shared" si="2"/>
        <v>34</v>
      </c>
      <c r="H3" s="7">
        <f t="shared" si="2"/>
        <v>100</v>
      </c>
      <c r="I3" s="8">
        <f t="shared" si="2"/>
        <v>44</v>
      </c>
      <c r="J3" s="11">
        <f>SUM(E3:I3)</f>
        <v>312</v>
      </c>
      <c r="K3" s="2" t="s">
        <v>12</v>
      </c>
      <c r="L3" s="2" t="s">
        <v>13</v>
      </c>
      <c r="M3" s="2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 t="s">
        <v>3</v>
      </c>
      <c r="F4" s="5" t="s">
        <v>4</v>
      </c>
      <c r="G4" s="6" t="s">
        <v>5</v>
      </c>
      <c r="H4" s="7" t="s">
        <v>6</v>
      </c>
      <c r="I4" s="8" t="s">
        <v>7</v>
      </c>
      <c r="J4" s="3" t="s">
        <v>2</v>
      </c>
    </row>
    <row r="5">
      <c r="A5" s="1" t="b">
        <v>1</v>
      </c>
      <c r="B5" s="1" t="b">
        <v>0</v>
      </c>
      <c r="C5" s="12">
        <v>3.0</v>
      </c>
      <c r="D5" s="20" t="s">
        <v>24</v>
      </c>
      <c r="E5" s="21">
        <v>42.0</v>
      </c>
      <c r="F5" s="15"/>
      <c r="G5" s="22"/>
      <c r="H5" s="23">
        <v>26.0</v>
      </c>
      <c r="I5" s="24"/>
      <c r="J5" s="11">
        <f t="shared" ref="J5:J25" si="3">SUM(E5:I5)</f>
        <v>68</v>
      </c>
    </row>
    <row r="6">
      <c r="A6" s="1" t="b">
        <v>1</v>
      </c>
      <c r="B6" s="1" t="b">
        <v>0</v>
      </c>
      <c r="C6" s="12">
        <v>3.0</v>
      </c>
      <c r="D6" s="13" t="s">
        <v>25</v>
      </c>
      <c r="E6" s="21">
        <v>26.0</v>
      </c>
      <c r="F6" s="15"/>
      <c r="G6" s="22"/>
      <c r="H6" s="23">
        <v>42.0</v>
      </c>
      <c r="I6" s="24"/>
      <c r="J6" s="11">
        <f t="shared" si="3"/>
        <v>68</v>
      </c>
    </row>
    <row r="7">
      <c r="A7" s="1" t="b">
        <v>1</v>
      </c>
      <c r="B7" s="1" t="b">
        <v>0</v>
      </c>
      <c r="C7" s="12">
        <v>3.0</v>
      </c>
      <c r="D7" s="13" t="s">
        <v>26</v>
      </c>
      <c r="E7" s="14"/>
      <c r="F7" s="15"/>
      <c r="G7" s="16">
        <v>22.0</v>
      </c>
      <c r="H7" s="17"/>
      <c r="I7" s="18">
        <v>22.0</v>
      </c>
      <c r="J7" s="11">
        <f t="shared" si="3"/>
        <v>44</v>
      </c>
    </row>
    <row r="8">
      <c r="A8" s="1" t="b">
        <v>1</v>
      </c>
      <c r="B8" s="1" t="b">
        <v>0</v>
      </c>
      <c r="C8" s="12">
        <v>3.0</v>
      </c>
      <c r="D8" s="13" t="s">
        <v>27</v>
      </c>
      <c r="E8" s="14"/>
      <c r="F8" s="25">
        <v>22.0</v>
      </c>
      <c r="G8" s="22"/>
      <c r="H8" s="17"/>
      <c r="I8" s="18">
        <v>22.0</v>
      </c>
      <c r="J8" s="11">
        <f t="shared" si="3"/>
        <v>44</v>
      </c>
    </row>
    <row r="9">
      <c r="A9" s="1" t="b">
        <v>1</v>
      </c>
      <c r="B9" s="1" t="b">
        <v>0</v>
      </c>
      <c r="C9" s="12">
        <v>3.0</v>
      </c>
      <c r="D9" s="13" t="s">
        <v>28</v>
      </c>
      <c r="E9" s="14"/>
      <c r="F9" s="25">
        <v>32.0</v>
      </c>
      <c r="G9" s="16">
        <v>12.0</v>
      </c>
      <c r="H9" s="17"/>
      <c r="I9" s="24"/>
      <c r="J9" s="11">
        <f t="shared" si="3"/>
        <v>44</v>
      </c>
    </row>
    <row r="10">
      <c r="A10" s="1" t="b">
        <v>1</v>
      </c>
      <c r="B10" s="1" t="b">
        <v>0</v>
      </c>
      <c r="C10" s="12">
        <v>3.0</v>
      </c>
      <c r="D10" s="1" t="s">
        <v>29</v>
      </c>
      <c r="E10" s="21">
        <v>12.0</v>
      </c>
      <c r="F10" s="15"/>
      <c r="G10" s="22"/>
      <c r="H10" s="23">
        <v>32.0</v>
      </c>
      <c r="I10" s="24"/>
      <c r="J10" s="11">
        <f t="shared" si="3"/>
        <v>44</v>
      </c>
    </row>
    <row r="11">
      <c r="A11" s="1" t="b">
        <v>0</v>
      </c>
      <c r="B11" s="1" t="b">
        <v>0</v>
      </c>
      <c r="C11" s="12">
        <v>1.0</v>
      </c>
      <c r="D11" s="13" t="s">
        <v>19</v>
      </c>
      <c r="E11" s="14"/>
      <c r="F11" s="15"/>
      <c r="G11" s="16">
        <v>32.0</v>
      </c>
      <c r="H11" s="17"/>
      <c r="I11" s="18">
        <v>12.0</v>
      </c>
      <c r="J11" s="11">
        <f t="shared" si="3"/>
        <v>44</v>
      </c>
    </row>
    <row r="12">
      <c r="A12" s="1" t="b">
        <v>0</v>
      </c>
      <c r="B12" s="1" t="b">
        <v>0</v>
      </c>
      <c r="C12" s="19">
        <v>1.0</v>
      </c>
      <c r="D12" s="20" t="s">
        <v>20</v>
      </c>
      <c r="E12" s="21">
        <v>14.0</v>
      </c>
      <c r="F12" s="15"/>
      <c r="G12" s="22"/>
      <c r="H12" s="23">
        <v>16.0</v>
      </c>
      <c r="I12" s="18">
        <v>14.0</v>
      </c>
      <c r="J12" s="11">
        <f t="shared" si="3"/>
        <v>44</v>
      </c>
    </row>
    <row r="13">
      <c r="A13" s="1" t="b">
        <v>0</v>
      </c>
      <c r="B13" s="1" t="b">
        <v>0</v>
      </c>
      <c r="C13" s="19">
        <v>1.0</v>
      </c>
      <c r="D13" s="20" t="s">
        <v>21</v>
      </c>
      <c r="E13" s="21">
        <v>32.0</v>
      </c>
      <c r="F13" s="15"/>
      <c r="G13" s="22"/>
      <c r="H13" s="23">
        <v>12.0</v>
      </c>
      <c r="I13" s="24"/>
      <c r="J13" s="11">
        <f t="shared" si="3"/>
        <v>44</v>
      </c>
    </row>
    <row r="14">
      <c r="A14" s="1" t="b">
        <v>0</v>
      </c>
      <c r="B14" s="1" t="b">
        <v>0</v>
      </c>
      <c r="C14" s="19">
        <v>2.0</v>
      </c>
      <c r="D14" s="20" t="s">
        <v>22</v>
      </c>
      <c r="E14" s="14"/>
      <c r="F14" s="25">
        <v>21.0</v>
      </c>
      <c r="G14" s="22"/>
      <c r="H14" s="23">
        <v>21.0</v>
      </c>
      <c r="I14" s="24"/>
      <c r="J14" s="11">
        <f t="shared" si="3"/>
        <v>42</v>
      </c>
    </row>
    <row r="15">
      <c r="A15" s="1" t="b">
        <v>0</v>
      </c>
      <c r="B15" s="1" t="b">
        <v>0</v>
      </c>
      <c r="C15" s="19">
        <v>2.5</v>
      </c>
      <c r="D15" s="20" t="s">
        <v>23</v>
      </c>
      <c r="E15" s="21">
        <v>21.0</v>
      </c>
      <c r="F15" s="15"/>
      <c r="G15" s="16">
        <v>21.0</v>
      </c>
      <c r="H15" s="17"/>
      <c r="I15" s="18">
        <v>21.0</v>
      </c>
      <c r="J15" s="11">
        <f t="shared" si="3"/>
        <v>63</v>
      </c>
    </row>
    <row r="16">
      <c r="A16" s="1" t="b">
        <v>0</v>
      </c>
      <c r="B16" s="1" t="b">
        <v>0</v>
      </c>
      <c r="C16" s="19">
        <v>1.0</v>
      </c>
      <c r="D16" s="20" t="s">
        <v>30</v>
      </c>
      <c r="E16" s="21">
        <v>21.0</v>
      </c>
      <c r="F16" s="15"/>
      <c r="G16" s="22"/>
      <c r="H16" s="23">
        <v>21.0</v>
      </c>
      <c r="I16" s="24"/>
      <c r="J16" s="11">
        <f t="shared" si="3"/>
        <v>42</v>
      </c>
    </row>
    <row r="17">
      <c r="A17" s="26" t="b">
        <v>0</v>
      </c>
      <c r="B17" s="26" t="b">
        <v>0</v>
      </c>
      <c r="C17" s="19">
        <v>1.0</v>
      </c>
      <c r="D17" s="20" t="s">
        <v>31</v>
      </c>
      <c r="E17" s="14"/>
      <c r="F17" s="25">
        <v>21.0</v>
      </c>
      <c r="G17" s="22"/>
      <c r="H17" s="17"/>
      <c r="I17" s="18">
        <v>21.0</v>
      </c>
      <c r="J17" s="11">
        <f t="shared" si="3"/>
        <v>42</v>
      </c>
    </row>
    <row r="18">
      <c r="A18" s="26" t="b">
        <v>0</v>
      </c>
      <c r="B18" s="26" t="b">
        <v>0</v>
      </c>
      <c r="C18" s="19">
        <v>1.0</v>
      </c>
      <c r="D18" s="20" t="s">
        <v>32</v>
      </c>
      <c r="E18" s="14"/>
      <c r="F18" s="15"/>
      <c r="G18" s="16">
        <v>21.0</v>
      </c>
      <c r="H18" s="17"/>
      <c r="I18" s="18">
        <v>21.0</v>
      </c>
      <c r="J18" s="11">
        <f t="shared" si="3"/>
        <v>42</v>
      </c>
    </row>
    <row r="19">
      <c r="A19" s="26" t="b">
        <v>0</v>
      </c>
      <c r="B19" s="26" t="b">
        <v>0</v>
      </c>
      <c r="C19" s="19">
        <v>1.0</v>
      </c>
      <c r="D19" s="20" t="s">
        <v>33</v>
      </c>
      <c r="E19" s="14"/>
      <c r="F19" s="25">
        <v>21.0</v>
      </c>
      <c r="G19" s="22"/>
      <c r="H19" s="23">
        <v>21.0</v>
      </c>
      <c r="I19" s="24"/>
      <c r="J19" s="11">
        <f t="shared" si="3"/>
        <v>42</v>
      </c>
    </row>
    <row r="20">
      <c r="A20" s="26" t="b">
        <v>0</v>
      </c>
      <c r="B20" s="26" t="b">
        <v>0</v>
      </c>
      <c r="C20" s="19">
        <v>1.0</v>
      </c>
      <c r="D20" s="20" t="s">
        <v>34</v>
      </c>
      <c r="E20" s="21">
        <v>21.0</v>
      </c>
      <c r="F20" s="15"/>
      <c r="G20" s="22"/>
      <c r="H20" s="23">
        <v>21.0</v>
      </c>
      <c r="I20" s="24"/>
      <c r="J20" s="11">
        <f t="shared" si="3"/>
        <v>42</v>
      </c>
    </row>
    <row r="21">
      <c r="A21" s="26" t="b">
        <v>0</v>
      </c>
      <c r="B21" s="26" t="b">
        <v>0</v>
      </c>
      <c r="C21" s="19">
        <v>2.0</v>
      </c>
      <c r="D21" s="20" t="s">
        <v>35</v>
      </c>
      <c r="E21" s="21">
        <v>21.0</v>
      </c>
      <c r="F21" s="15"/>
      <c r="G21" s="22"/>
      <c r="H21" s="23">
        <v>42.0</v>
      </c>
      <c r="I21" s="24"/>
      <c r="J21" s="11">
        <f t="shared" si="3"/>
        <v>63</v>
      </c>
    </row>
    <row r="22">
      <c r="A22" s="26" t="b">
        <v>0</v>
      </c>
      <c r="B22" s="26" t="b">
        <v>0</v>
      </c>
      <c r="C22" s="19">
        <v>2.0</v>
      </c>
      <c r="D22" s="20" t="s">
        <v>36</v>
      </c>
      <c r="E22" s="21">
        <v>42.0</v>
      </c>
      <c r="F22" s="15"/>
      <c r="G22" s="22"/>
      <c r="H22" s="23">
        <v>21.0</v>
      </c>
      <c r="I22" s="24"/>
      <c r="J22" s="11">
        <f t="shared" si="3"/>
        <v>63</v>
      </c>
    </row>
    <row r="23">
      <c r="A23" s="26" t="b">
        <v>0</v>
      </c>
      <c r="B23" s="26" t="b">
        <v>0</v>
      </c>
      <c r="C23" s="19">
        <v>2.5</v>
      </c>
      <c r="D23" s="20" t="s">
        <v>37</v>
      </c>
      <c r="E23" s="14"/>
      <c r="F23" s="15"/>
      <c r="G23" s="16">
        <v>21.0</v>
      </c>
      <c r="H23" s="17"/>
      <c r="I23" s="18">
        <v>42.0</v>
      </c>
      <c r="J23" s="11">
        <f t="shared" si="3"/>
        <v>63</v>
      </c>
    </row>
    <row r="24">
      <c r="A24" s="26" t="b">
        <v>0</v>
      </c>
      <c r="B24" s="26" t="b">
        <v>0</v>
      </c>
      <c r="C24" s="19">
        <v>2.5</v>
      </c>
      <c r="D24" s="20" t="s">
        <v>38</v>
      </c>
      <c r="E24" s="14"/>
      <c r="F24" s="25">
        <v>42.0</v>
      </c>
      <c r="G24" s="22"/>
      <c r="H24" s="17"/>
      <c r="I24" s="18">
        <v>21.0</v>
      </c>
      <c r="J24" s="11">
        <f t="shared" si="3"/>
        <v>63</v>
      </c>
    </row>
    <row r="25">
      <c r="A25" s="26" t="b">
        <v>0</v>
      </c>
      <c r="B25" s="26" t="b">
        <v>0</v>
      </c>
      <c r="C25" s="12">
        <v>2.5</v>
      </c>
      <c r="D25" s="13" t="s">
        <v>39</v>
      </c>
      <c r="E25" s="21"/>
      <c r="F25" s="25">
        <v>42.0</v>
      </c>
      <c r="G25" s="16">
        <v>21.0</v>
      </c>
      <c r="H25" s="17"/>
      <c r="I25" s="24"/>
      <c r="J25" s="11">
        <f t="shared" si="3"/>
        <v>63</v>
      </c>
    </row>
  </sheetData>
  <mergeCells count="2">
    <mergeCell ref="A1:J1"/>
    <mergeCell ref="K1:M1"/>
  </mergeCells>
  <drawing r:id="rId1"/>
</worksheet>
</file>